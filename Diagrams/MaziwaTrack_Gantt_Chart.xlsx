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Change this date and every task moves automatically.</t>
        </r>
      </text>
    </comment>
    <comment ref="C4" authorId="0">
      <text>
        <r>
          <rPr>
            <sz val="10"/>
            <rFont val="Arial"/>
            <family val="2"/>
          </rPr>
          <t xml:space="preserve">Classes end 25 Nov 2026 (from the team). Used as the Deliverable 4 deadline.</t>
        </r>
      </text>
    </comment>
  </commentList>
</comments>
</file>

<file path=xl/sharedStrings.xml><?xml version="1.0" encoding="utf-8"?>
<sst xmlns="http://schemas.openxmlformats.org/spreadsheetml/2006/main" count="78" uniqueCount="47">
  <si>
    <t xml:space="preserve">MaziwaTrack Project Gantt Chart</t>
  </si>
  <si>
    <t xml:space="preserve">Project start</t>
  </si>
  <si>
    <t xml:space="preserve">How to use: edit only the yellow cells (blue text): Duration, Depends on, Fixed start, % Done, Deadline.</t>
  </si>
  <si>
    <t xml:space="preserve">Today</t>
  </si>
  <si>
    <t xml:space="preserve">Start and End dates are calculated automatically: a task starts the next working day after the task it depends on, and weekends are skipped.</t>
  </si>
  <si>
    <t xml:space="preserve">Final deadline</t>
  </si>
  <si>
    <t xml:space="preserve">Bars: light green = planned, dark green = completed part, red = milestone, yellow column = today, grey = weekend.</t>
  </si>
  <si>
    <t xml:space="preserve">Progress synced from GitHub on 21 Oct 2026 11:06 (latest commit e4381e5). Tag commits like [T4 60%] or [T4 done].</t>
  </si>
  <si>
    <t xml:space="preserve">ID</t>
  </si>
  <si>
    <t xml:space="preserve">Task</t>
  </si>
  <si>
    <t xml:space="preserve">Phase</t>
  </si>
  <si>
    <t xml:space="preserve">Owner</t>
  </si>
  <si>
    <t xml:space="preserve">Duration (work days)</t>
  </si>
  <si>
    <t xml:space="preserve">Depends on (ID)</t>
  </si>
  <si>
    <t xml:space="preserve">Fixed start (optional)</t>
  </si>
  <si>
    <t xml:space="preserve">Start</t>
  </si>
  <si>
    <t xml:space="preserve">End</t>
  </si>
  <si>
    <t xml:space="preserve">% Done</t>
  </si>
  <si>
    <t xml:space="preserve">Status</t>
  </si>
  <si>
    <t xml:space="preserve">Deadline (optional)</t>
  </si>
  <si>
    <t xml:space="preserve">Deadline check</t>
  </si>
  <si>
    <t xml:space="preserve">Set up repository, folders and .env</t>
  </si>
  <si>
    <t xml:space="preserve">Deliverable 3</t>
  </si>
  <si>
    <t xml:space="preserve">Tonybrian</t>
  </si>
  <si>
    <t xml:space="preserve">Create PostgreSQL database (schema.sql, seed.sql)</t>
  </si>
  <si>
    <t xml:space="preserve">Login, registration and roles (bcrypt, JWT, middleware)</t>
  </si>
  <si>
    <t xml:space="preserve">Farmer screen: record deposit and batch number</t>
  </si>
  <si>
    <t xml:space="preserve">Angelo</t>
  </si>
  <si>
    <t xml:space="preserve">Grader screen: verify quantity and quality</t>
  </si>
  <si>
    <t xml:space="preserve">Admin screen: view batches and approve payment</t>
  </si>
  <si>
    <t xml:space="preserve">API: batches, verification and payments</t>
  </si>
  <si>
    <t xml:space="preserve">Connect front-end and admin panel to the database</t>
  </si>
  <si>
    <t xml:space="preserve">All</t>
  </si>
  <si>
    <t xml:space="preserve">Deliverable 3: mid-semester marking</t>
  </si>
  <si>
    <t xml:space="preserve">Milestone</t>
  </si>
  <si>
    <t xml:space="preserve">Payment email notification</t>
  </si>
  <si>
    <t xml:space="preserve">Deliverable 4</t>
  </si>
  <si>
    <t xml:space="preserve">Receipts and PDF reports (logo, date, filters)</t>
  </si>
  <si>
    <t xml:space="preserve">Audit log view</t>
  </si>
  <si>
    <t xml:space="preserve">Validation, error messages and help page</t>
  </si>
  <si>
    <t xml:space="preserve">Testing (unit, API, end-to-end) and bug fixes</t>
  </si>
  <si>
    <t xml:space="preserve">Jeremy</t>
  </si>
  <si>
    <t xml:space="preserve">User manual and documentation</t>
  </si>
  <si>
    <t xml:space="preserve">Deploy (Vercel, Render, hosted PostgreSQL)</t>
  </si>
  <si>
    <t xml:space="preserve">Buffer: fixes and should-have features</t>
  </si>
  <si>
    <t xml:space="preserve">Presentation rehearsal</t>
  </si>
  <si>
    <t xml:space="preserve">Deliverable 4: final presentation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</si>
</sst>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\ dd\ mmm\ yyyy"/>
    <numFmt numFmtId="166" formatCode="dd"/>
    <numFmt numFmtId="167" formatCode="ddd\ dd\ mmm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2F5D50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7E7E7"/>
      </patternFill>
    </fill>
    <fill>
      <patternFill patternType="solid">
        <fgColor rgb="FF2F5D50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0392B"/>
        </patternFill>
      </fill>
    </dxf>
    <dxf>
      <fill>
        <patternFill>
          <bgColor rgb="FF2F7D4F"/>
        </patternFill>
      </fill>
    </dxf>
    <dxf>
      <fill>
        <patternFill>
          <bgColor rgb="FFA9D8B8"/>
        </patternFill>
      </fill>
    </dxf>
    <dxf>
      <fill>
        <patternFill>
          <bgColor rgb="FFFFE08A"/>
        </patternFill>
      </fill>
    </dxf>
    <dxf>
      <fill>
        <patternFill>
          <bgColor rgb="FFE7E7E7"/>
        </patternFill>
      </fill>
    </dxf>
    <dxf>
      <fill>
        <patternFill>
          <bgColor rgb="FFE0A800"/>
        </patternFill>
      </fill>
    </dxf>
    <dxf>
      <fill>
        <patternFill>
          <bgColor rgb="FFD4EDDA"/>
        </patternFill>
      </fill>
    </dxf>
    <dxf>
      <fill>
        <patternFill>
          <bgColor rgb="FFF8D0CC"/>
        </patternFill>
      </fill>
    </dxf>
    <dxf>
      <fill>
        <patternFill>
          <bgColor rgb="FFD6EAFF"/>
        </patternFill>
      </fill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8B8"/>
      <rgbColor rgb="FF808080"/>
      <rgbColor rgb="FF9999FF"/>
      <rgbColor rgb="FF993366"/>
      <rgbColor rgb="FFFFF2CC"/>
      <rgbColor rgb="FFD6EA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7E7"/>
      <rgbColor rgb="FFD4EDDA"/>
      <rgbColor rgb="FFF8D0CC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E0A800"/>
      <rgbColor rgb="FFFF6600"/>
      <rgbColor rgb="FF555555"/>
      <rgbColor rgb="FF969696"/>
      <rgbColor rgb="FF003366"/>
      <rgbColor rgb="FF2F7D4F"/>
      <rgbColor rgb="FF003300"/>
      <rgbColor rgb="FF333300"/>
      <rgbColor rgb="FFC0392B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N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6" min="5" style="1" width="10"/>
    <col collapsed="false" customWidth="true" hidden="false" outlineLevel="0" max="9" min="7" style="1" width="12"/>
    <col collapsed="false" customWidth="true" hidden="false" outlineLevel="0" max="10" min="10" style="1" width="8"/>
    <col collapsed="false" customWidth="true" hidden="false" outlineLevel="0" max="12" min="11" style="1" width="12"/>
    <col collapsed="false" customWidth="true" hidden="false" outlineLevel="0" max="13" min="13" style="1" width="16"/>
    <col collapsed="false" customWidth="true" hidden="false" outlineLevel="0" max="58" min="14" style="1" width="3.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B2" s="3" t="s">
        <v>1</v>
      </c>
      <c r="C2" s="4" t="n">
        <v>46316</v>
      </c>
      <c r="E2" s="5" t="s">
        <v>2</v>
      </c>
    </row>
    <row r="3" customFormat="false" ht="15" hidden="false" customHeight="true" outlineLevel="0" collapsed="false">
      <c r="B3" s="3" t="s">
        <v>3</v>
      </c>
      <c r="C3" s="6" t="n">
        <f aca="true">TODAY()</f>
        <v>46316</v>
      </c>
      <c r="E3" s="5" t="s">
        <v>4</v>
      </c>
    </row>
    <row r="4" customFormat="false" ht="15" hidden="false" customHeight="true" outlineLevel="0" collapsed="false">
      <c r="B4" s="3" t="s">
        <v>5</v>
      </c>
      <c r="C4" s="4" t="n">
        <v>46351</v>
      </c>
      <c r="E4" s="5" t="s">
        <v>6</v>
      </c>
    </row>
    <row r="6" customFormat="false" ht="15" hidden="false" customHeight="false" outlineLevel="0" collapsed="false">
      <c r="B6" s="7" t="s">
        <v>7</v>
      </c>
    </row>
    <row r="7" customFormat="false" ht="15" hidden="false" customHeight="true" outlineLevel="0" collapsed="false">
      <c r="N7" s="8" t="str">
        <f aca="false">IF(OR(N8=$C$2,DAY(N8)=1),TEXT(N8,"mmm"),"")</f>
        <v>Oct</v>
      </c>
      <c r="O7" s="8" t="str">
        <f aca="false">IF(OR(O8=$C$2,DAY(O8)=1),TEXT(O8,"mmm"),"")</f>
        <v/>
      </c>
      <c r="P7" s="8" t="str">
        <f aca="false">IF(OR(P8=$C$2,DAY(P8)=1),TEXT(P8,"mmm"),"")</f>
        <v/>
      </c>
      <c r="Q7" s="8" t="str">
        <f aca="false">IF(OR(Q8=$C$2,DAY(Q8)=1),TEXT(Q8,"mmm"),"")</f>
        <v/>
      </c>
      <c r="R7" s="8" t="str">
        <f aca="false">IF(OR(R8=$C$2,DAY(R8)=1),TEXT(R8,"mmm"),"")</f>
        <v/>
      </c>
      <c r="S7" s="8" t="str">
        <f aca="false">IF(OR(S8=$C$2,DAY(S8)=1),TEXT(S8,"mmm"),"")</f>
        <v/>
      </c>
      <c r="T7" s="8" t="str">
        <f aca="false">IF(OR(T8=$C$2,DAY(T8)=1),TEXT(T8,"mmm"),"")</f>
        <v/>
      </c>
      <c r="U7" s="8" t="str">
        <f aca="false">IF(OR(U8=$C$2,DAY(U8)=1),TEXT(U8,"mmm"),"")</f>
        <v/>
      </c>
      <c r="V7" s="8" t="str">
        <f aca="false">IF(OR(V8=$C$2,DAY(V8)=1),TEXT(V8,"mmm"),"")</f>
        <v/>
      </c>
      <c r="W7" s="8" t="str">
        <f aca="false">IF(OR(W8=$C$2,DAY(W8)=1),TEXT(W8,"mmm"),"")</f>
        <v/>
      </c>
      <c r="X7" s="8" t="str">
        <f aca="false">IF(OR(X8=$C$2,DAY(X8)=1),TEXT(X8,"mmm"),"")</f>
        <v/>
      </c>
      <c r="Y7" s="8" t="str">
        <f aca="false">IF(OR(Y8=$C$2,DAY(Y8)=1),TEXT(Y8,"mmm"),"")</f>
        <v>Nov</v>
      </c>
      <c r="Z7" s="8" t="str">
        <f aca="false">IF(OR(Z8=$C$2,DAY(Z8)=1),TEXT(Z8,"mmm"),"")</f>
        <v/>
      </c>
      <c r="AA7" s="8" t="str">
        <f aca="false">IF(OR(AA8=$C$2,DAY(AA8)=1),TEXT(AA8,"mmm"),"")</f>
        <v/>
      </c>
      <c r="AB7" s="8" t="str">
        <f aca="false">IF(OR(AB8=$C$2,DAY(AB8)=1),TEXT(AB8,"mmm"),"")</f>
        <v/>
      </c>
      <c r="AC7" s="8" t="str">
        <f aca="false">IF(OR(AC8=$C$2,DAY(AC8)=1),TEXT(AC8,"mmm"),"")</f>
        <v/>
      </c>
      <c r="AD7" s="8" t="str">
        <f aca="false">IF(OR(AD8=$C$2,DAY(AD8)=1),TEXT(AD8,"mmm"),"")</f>
        <v/>
      </c>
      <c r="AE7" s="8" t="str">
        <f aca="false">IF(OR(AE8=$C$2,DAY(AE8)=1),TEXT(AE8,"mmm"),"")</f>
        <v/>
      </c>
      <c r="AF7" s="8" t="str">
        <f aca="false">IF(OR(AF8=$C$2,DAY(AF8)=1),TEXT(AF8,"mmm"),"")</f>
        <v/>
      </c>
      <c r="AG7" s="8" t="str">
        <f aca="false">IF(OR(AG8=$C$2,DAY(AG8)=1),TEXT(AG8,"mmm"),"")</f>
        <v/>
      </c>
      <c r="AH7" s="8" t="str">
        <f aca="false">IF(OR(AH8=$C$2,DAY(AH8)=1),TEXT(AH8,"mmm"),"")</f>
        <v/>
      </c>
      <c r="AI7" s="8" t="str">
        <f aca="false">IF(OR(AI8=$C$2,DAY(AI8)=1),TEXT(AI8,"mmm"),"")</f>
        <v/>
      </c>
      <c r="AJ7" s="8" t="str">
        <f aca="false">IF(OR(AJ8=$C$2,DAY(AJ8)=1),TEXT(AJ8,"mmm"),"")</f>
        <v/>
      </c>
      <c r="AK7" s="8" t="str">
        <f aca="false">IF(OR(AK8=$C$2,DAY(AK8)=1),TEXT(AK8,"mmm"),"")</f>
        <v/>
      </c>
      <c r="AL7" s="8" t="str">
        <f aca="false">IF(OR(AL8=$C$2,DAY(AL8)=1),TEXT(AL8,"mmm"),"")</f>
        <v/>
      </c>
      <c r="AM7" s="8" t="str">
        <f aca="false">IF(OR(AM8=$C$2,DAY(AM8)=1),TEXT(AM8,"mmm"),"")</f>
        <v/>
      </c>
      <c r="AN7" s="8" t="str">
        <f aca="false">IF(OR(AN8=$C$2,DAY(AN8)=1),TEXT(AN8,"mmm"),"")</f>
        <v/>
      </c>
      <c r="AO7" s="8" t="str">
        <f aca="false">IF(OR(AO8=$C$2,DAY(AO8)=1),TEXT(AO8,"mmm"),"")</f>
        <v/>
      </c>
      <c r="AP7" s="8" t="str">
        <f aca="false">IF(OR(AP8=$C$2,DAY(AP8)=1),TEXT(AP8,"mmm"),"")</f>
        <v/>
      </c>
      <c r="AQ7" s="8" t="str">
        <f aca="false">IF(OR(AQ8=$C$2,DAY(AQ8)=1),TEXT(AQ8,"mmm"),"")</f>
        <v/>
      </c>
      <c r="AR7" s="8" t="str">
        <f aca="false">IF(OR(AR8=$C$2,DAY(AR8)=1),TEXT(AR8,"mmm"),"")</f>
        <v/>
      </c>
      <c r="AS7" s="8" t="str">
        <f aca="false">IF(OR(AS8=$C$2,DAY(AS8)=1),TEXT(AS8,"mmm"),"")</f>
        <v/>
      </c>
      <c r="AT7" s="8" t="str">
        <f aca="false">IF(OR(AT8=$C$2,DAY(AT8)=1),TEXT(AT8,"mmm"),"")</f>
        <v/>
      </c>
      <c r="AU7" s="8" t="str">
        <f aca="false">IF(OR(AU8=$C$2,DAY(AU8)=1),TEXT(AU8,"mmm"),"")</f>
        <v/>
      </c>
      <c r="AV7" s="8" t="str">
        <f aca="false">IF(OR(AV8=$C$2,DAY(AV8)=1),TEXT(AV8,"mmm"),"")</f>
        <v/>
      </c>
      <c r="AW7" s="8" t="str">
        <f aca="false">IF(OR(AW8=$C$2,DAY(AW8)=1),TEXT(AW8,"mmm"),"")</f>
        <v/>
      </c>
      <c r="AX7" s="8" t="str">
        <f aca="false">IF(OR(AX8=$C$2,DAY(AX8)=1),TEXT(AX8,"mmm"),"")</f>
        <v/>
      </c>
      <c r="AY7" s="8" t="str">
        <f aca="false">IF(OR(AY8=$C$2,DAY(AY8)=1),TEXT(AY8,"mmm"),"")</f>
        <v/>
      </c>
      <c r="AZ7" s="8" t="str">
        <f aca="false">IF(OR(AZ8=$C$2,DAY(AZ8)=1),TEXT(AZ8,"mmm"),"")</f>
        <v/>
      </c>
      <c r="BA7" s="8" t="str">
        <f aca="false">IF(OR(BA8=$C$2,DAY(BA8)=1),TEXT(BA8,"mmm"),"")</f>
        <v/>
      </c>
      <c r="BB7" s="8" t="str">
        <f aca="false">IF(OR(BB8=$C$2,DAY(BB8)=1),TEXT(BB8,"mmm"),"")</f>
        <v/>
      </c>
      <c r="BC7" s="8" t="str">
        <f aca="false">IF(OR(BC8=$C$2,DAY(BC8)=1),TEXT(BC8,"mmm"),"")</f>
        <v>Dec</v>
      </c>
      <c r="BD7" s="8" t="str">
        <f aca="false">IF(OR(BD8=$C$2,DAY(BD8)=1),TEXT(BD8,"mmm"),"")</f>
        <v/>
      </c>
      <c r="BE7" s="8" t="str">
        <f aca="false">IF(OR(BE8=$C$2,DAY(BE8)=1),TEXT(BE8,"mmm"),"")</f>
        <v/>
      </c>
      <c r="BF7" s="8" t="str">
        <f aca="false">IF(OR(BF8=$C$2,DAY(BF8)=1),TEXT(BF8,"mmm"),"")</f>
        <v/>
      </c>
    </row>
    <row r="8" customFormat="false" ht="42" hidden="false" customHeight="true" outlineLevel="0" collapsed="false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  <c r="M8" s="9" t="s">
        <v>20</v>
      </c>
      <c r="N8" s="10" t="n">
        <f aca="false">$C$2</f>
        <v>46316</v>
      </c>
      <c r="O8" s="10" t="n">
        <f aca="false">N8+1</f>
        <v>46317</v>
      </c>
      <c r="P8" s="10" t="n">
        <f aca="false">O8+1</f>
        <v>46318</v>
      </c>
      <c r="Q8" s="10" t="n">
        <f aca="false">P8+1</f>
        <v>46319</v>
      </c>
      <c r="R8" s="10" t="n">
        <f aca="false">Q8+1</f>
        <v>46320</v>
      </c>
      <c r="S8" s="10" t="n">
        <f aca="false">R8+1</f>
        <v>46321</v>
      </c>
      <c r="T8" s="10" t="n">
        <f aca="false">S8+1</f>
        <v>46322</v>
      </c>
      <c r="U8" s="10" t="n">
        <f aca="false">T8+1</f>
        <v>46323</v>
      </c>
      <c r="V8" s="10" t="n">
        <f aca="false">U8+1</f>
        <v>46324</v>
      </c>
      <c r="W8" s="10" t="n">
        <f aca="false">V8+1</f>
        <v>46325</v>
      </c>
      <c r="X8" s="10" t="n">
        <f aca="false">W8+1</f>
        <v>46326</v>
      </c>
      <c r="Y8" s="10" t="n">
        <f aca="false">X8+1</f>
        <v>46327</v>
      </c>
      <c r="Z8" s="10" t="n">
        <f aca="false">Y8+1</f>
        <v>46328</v>
      </c>
      <c r="AA8" s="10" t="n">
        <f aca="false">Z8+1</f>
        <v>46329</v>
      </c>
      <c r="AB8" s="10" t="n">
        <f aca="false">AA8+1</f>
        <v>46330</v>
      </c>
      <c r="AC8" s="10" t="n">
        <f aca="false">AB8+1</f>
        <v>46331</v>
      </c>
      <c r="AD8" s="10" t="n">
        <f aca="false">AC8+1</f>
        <v>46332</v>
      </c>
      <c r="AE8" s="10" t="n">
        <f aca="false">AD8+1</f>
        <v>46333</v>
      </c>
      <c r="AF8" s="10" t="n">
        <f aca="false">AE8+1</f>
        <v>46334</v>
      </c>
      <c r="AG8" s="10" t="n">
        <f aca="false">AF8+1</f>
        <v>46335</v>
      </c>
      <c r="AH8" s="10" t="n">
        <f aca="false">AG8+1</f>
        <v>46336</v>
      </c>
      <c r="AI8" s="10" t="n">
        <f aca="false">AH8+1</f>
        <v>46337</v>
      </c>
      <c r="AJ8" s="10" t="n">
        <f aca="false">AI8+1</f>
        <v>46338</v>
      </c>
      <c r="AK8" s="10" t="n">
        <f aca="false">AJ8+1</f>
        <v>46339</v>
      </c>
      <c r="AL8" s="10" t="n">
        <f aca="false">AK8+1</f>
        <v>46340</v>
      </c>
      <c r="AM8" s="10" t="n">
        <f aca="false">AL8+1</f>
        <v>46341</v>
      </c>
      <c r="AN8" s="10" t="n">
        <f aca="false">AM8+1</f>
        <v>46342</v>
      </c>
      <c r="AO8" s="10" t="n">
        <f aca="false">AN8+1</f>
        <v>46343</v>
      </c>
      <c r="AP8" s="10" t="n">
        <f aca="false">AO8+1</f>
        <v>46344</v>
      </c>
      <c r="AQ8" s="10" t="n">
        <f aca="false">AP8+1</f>
        <v>46345</v>
      </c>
      <c r="AR8" s="10" t="n">
        <f aca="false">AQ8+1</f>
        <v>46346</v>
      </c>
      <c r="AS8" s="10" t="n">
        <f aca="false">AR8+1</f>
        <v>46347</v>
      </c>
      <c r="AT8" s="10" t="n">
        <f aca="false">AS8+1</f>
        <v>46348</v>
      </c>
      <c r="AU8" s="10" t="n">
        <f aca="false">AT8+1</f>
        <v>46349</v>
      </c>
      <c r="AV8" s="10" t="n">
        <f aca="false">AU8+1</f>
        <v>46350</v>
      </c>
      <c r="AW8" s="10" t="n">
        <f aca="false">AV8+1</f>
        <v>46351</v>
      </c>
      <c r="AX8" s="10" t="n">
        <f aca="false">AW8+1</f>
        <v>46352</v>
      </c>
      <c r="AY8" s="10" t="n">
        <f aca="false">AX8+1</f>
        <v>46353</v>
      </c>
      <c r="AZ8" s="10" t="n">
        <f aca="false">AY8+1</f>
        <v>46354</v>
      </c>
      <c r="BA8" s="10" t="n">
        <f aca="false">AZ8+1</f>
        <v>46355</v>
      </c>
      <c r="BB8" s="10" t="n">
        <f aca="false">BA8+1</f>
        <v>46356</v>
      </c>
      <c r="BC8" s="10" t="n">
        <f aca="false">BB8+1</f>
        <v>46357</v>
      </c>
      <c r="BD8" s="10" t="n">
        <f aca="false">BC8+1</f>
        <v>46358</v>
      </c>
      <c r="BE8" s="10" t="n">
        <f aca="false">BD8+1</f>
        <v>46359</v>
      </c>
      <c r="BF8" s="10" t="n">
        <f aca="false">BE8+1</f>
        <v>46360</v>
      </c>
    </row>
    <row r="9" customFormat="false" ht="15" hidden="false" customHeight="true" outlineLevel="0" collapsed="false">
      <c r="A9" s="11" t="n">
        <v>1</v>
      </c>
      <c r="B9" s="12" t="s">
        <v>21</v>
      </c>
      <c r="C9" s="13" t="s">
        <v>22</v>
      </c>
      <c r="D9" s="13" t="s">
        <v>23</v>
      </c>
      <c r="E9" s="14" t="n">
        <v>1</v>
      </c>
      <c r="F9" s="14"/>
      <c r="G9" s="15"/>
      <c r="H9" s="16" t="n">
        <f aca="false">IF($B9="","",IF($G9&lt;&gt;"",$G9,IF($F9="",WORKDAY($C$2-1,1),WORKDAY(INDEX($I$9:$I$40,MATCH($F9,$A$9:$A$40,0)),1))))</f>
        <v>46316</v>
      </c>
      <c r="I9" s="16" t="n">
        <f aca="false">IF($B9="","",WORKDAY($H9,MAX($E9,1)-1))</f>
        <v>46316</v>
      </c>
      <c r="J9" s="17" t="n">
        <v>0</v>
      </c>
      <c r="K9" s="13" t="str">
        <f aca="false">IF($B9="","",IF($J9&gt;=1,"Done",IF($C$3&gt;$I9,"Overdue",IF(OR($J9&gt;0,$C$3&gt;=$H9),"In progress","Not started"))))</f>
        <v>In progress</v>
      </c>
      <c r="L9" s="15"/>
      <c r="M9" s="13" t="str">
        <f aca="false">IF(OR($B9="",$L9=""),"",IF($I9&lt;=$L9,"On time","LATE by "&amp;NETWORKDAYS($L9,$I9)-1&amp;" day(s)"))</f>
        <v/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</row>
    <row r="10" customFormat="false" ht="15" hidden="false" customHeight="true" outlineLevel="0" collapsed="false">
      <c r="A10" s="11" t="n">
        <v>2</v>
      </c>
      <c r="B10" s="12" t="s">
        <v>24</v>
      </c>
      <c r="C10" s="13" t="s">
        <v>22</v>
      </c>
      <c r="D10" s="13" t="s">
        <v>23</v>
      </c>
      <c r="E10" s="14" t="n">
        <v>2</v>
      </c>
      <c r="F10" s="14" t="n">
        <v>1</v>
      </c>
      <c r="G10" s="15"/>
      <c r="H10" s="16" t="n">
        <f aca="false">IF($B10="","",IF($G10&lt;&gt;"",$G10,IF($F10="",WORKDAY($C$2-1,1),WORKDAY(INDEX($I$9:$I$40,MATCH($F10,$A$9:$A$40,0)),1))))</f>
        <v>46317</v>
      </c>
      <c r="I10" s="16" t="n">
        <f aca="false">IF($B10="","",WORKDAY($H10,MAX($E10,1)-1))</f>
        <v>46318</v>
      </c>
      <c r="J10" s="17" t="n">
        <v>0</v>
      </c>
      <c r="K10" s="13" t="str">
        <f aca="false">IF($B10="","",IF($J10&gt;=1,"Done",IF($C$3&gt;$I10,"Overdue",IF(OR($J10&gt;0,$C$3&gt;=$H10),"In progress","Not started"))))</f>
        <v>Not started</v>
      </c>
      <c r="L10" s="15"/>
      <c r="M10" s="13" t="str">
        <f aca="false">IF(OR($B10="",$L10=""),"",IF($I10&lt;=$L10,"On time","LATE by "&amp;NETWORKDAYS($L10,$I10)-1&amp;" day(s)"))</f>
        <v/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</row>
    <row r="11" customFormat="false" ht="23.25" hidden="false" customHeight="true" outlineLevel="0" collapsed="false">
      <c r="A11" s="11" t="n">
        <v>3</v>
      </c>
      <c r="B11" s="12" t="s">
        <v>25</v>
      </c>
      <c r="C11" s="13" t="s">
        <v>22</v>
      </c>
      <c r="D11" s="13" t="s">
        <v>23</v>
      </c>
      <c r="E11" s="14" t="n">
        <v>3</v>
      </c>
      <c r="F11" s="14" t="n">
        <v>2</v>
      </c>
      <c r="G11" s="15"/>
      <c r="H11" s="16" t="n">
        <f aca="false">IF($B11="","",IF($G11&lt;&gt;"",$G11,IF($F11="",WORKDAY($C$2-1,1),WORKDAY(INDEX($I$9:$I$40,MATCH($F11,$A$9:$A$40,0)),1))))</f>
        <v>46321</v>
      </c>
      <c r="I11" s="16" t="n">
        <f aca="false">IF($B11="","",WORKDAY($H11,MAX($E11,1)-1))</f>
        <v>46323</v>
      </c>
      <c r="J11" s="17" t="n">
        <v>0</v>
      </c>
      <c r="K11" s="13" t="str">
        <f aca="false">IF($B11="","",IF($J11&gt;=1,"Done",IF($C$3&gt;$I11,"Overdue",IF(OR($J11&gt;0,$C$3&gt;=$H11),"In progress","Not started"))))</f>
        <v>Not started</v>
      </c>
      <c r="L11" s="15"/>
      <c r="M11" s="13" t="str">
        <f aca="false">IF(OR($B11="",$L11=""),"",IF($I11&lt;=$L11,"On time","LATE by "&amp;NETWORKDAYS($L11,$I11)-1&amp;" day(s)"))</f>
        <v/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</row>
    <row r="12" customFormat="false" ht="15" hidden="false" customHeight="true" outlineLevel="0" collapsed="false">
      <c r="A12" s="11" t="n">
        <v>4</v>
      </c>
      <c r="B12" s="12" t="s">
        <v>26</v>
      </c>
      <c r="C12" s="13" t="s">
        <v>22</v>
      </c>
      <c r="D12" s="13" t="s">
        <v>27</v>
      </c>
      <c r="E12" s="14" t="n">
        <v>3</v>
      </c>
      <c r="F12" s="14" t="n">
        <v>1</v>
      </c>
      <c r="G12" s="15"/>
      <c r="H12" s="16" t="n">
        <f aca="false">IF($B12="","",IF($G12&lt;&gt;"",$G12,IF($F12="",WORKDAY($C$2-1,1),WORKDAY(INDEX($I$9:$I$40,MATCH($F12,$A$9:$A$40,0)),1))))</f>
        <v>46317</v>
      </c>
      <c r="I12" s="16" t="n">
        <f aca="false">IF($B12="","",WORKDAY($H12,MAX($E12,1)-1))</f>
        <v>46321</v>
      </c>
      <c r="J12" s="17" t="n">
        <v>0</v>
      </c>
      <c r="K12" s="13" t="str">
        <f aca="false">IF($B12="","",IF($J12&gt;=1,"Done",IF($C$3&gt;$I12,"Overdue",IF(OR($J12&gt;0,$C$3&gt;=$H12),"In progress","Not started"))))</f>
        <v>Not started</v>
      </c>
      <c r="L12" s="15"/>
      <c r="M12" s="13" t="str">
        <f aca="false">IF(OR($B12="",$L12=""),"",IF($I12&lt;=$L12,"On time","LATE by "&amp;NETWORKDAYS($L12,$I12)-1&amp;" day(s)"))</f>
        <v/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</row>
    <row r="13" customFormat="false" ht="15" hidden="false" customHeight="true" outlineLevel="0" collapsed="false">
      <c r="A13" s="11" t="n">
        <v>5</v>
      </c>
      <c r="B13" s="12" t="s">
        <v>28</v>
      </c>
      <c r="C13" s="13" t="s">
        <v>22</v>
      </c>
      <c r="D13" s="13" t="s">
        <v>27</v>
      </c>
      <c r="E13" s="14" t="n">
        <v>2</v>
      </c>
      <c r="F13" s="14" t="n">
        <v>4</v>
      </c>
      <c r="G13" s="15"/>
      <c r="H13" s="16" t="n">
        <f aca="false">IF($B13="","",IF($G13&lt;&gt;"",$G13,IF($F13="",WORKDAY($C$2-1,1),WORKDAY(INDEX($I$9:$I$40,MATCH($F13,$A$9:$A$40,0)),1))))</f>
        <v>46322</v>
      </c>
      <c r="I13" s="16" t="n">
        <f aca="false">IF($B13="","",WORKDAY($H13,MAX($E13,1)-1))</f>
        <v>46323</v>
      </c>
      <c r="J13" s="17" t="n">
        <v>0</v>
      </c>
      <c r="K13" s="13" t="str">
        <f aca="false">IF($B13="","",IF($J13&gt;=1,"Done",IF($C$3&gt;$I13,"Overdue",IF(OR($J13&gt;0,$C$3&gt;=$H13),"In progress","Not started"))))</f>
        <v>Not started</v>
      </c>
      <c r="L13" s="15"/>
      <c r="M13" s="13" t="str">
        <f aca="false">IF(OR($B13="",$L13=""),"",IF($I13&lt;=$L13,"On time","LATE by "&amp;NETWORKDAYS($L13,$I13)-1&amp;" day(s)"))</f>
        <v/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</row>
    <row r="14" customFormat="false" ht="15" hidden="false" customHeight="true" outlineLevel="0" collapsed="false">
      <c r="A14" s="11" t="n">
        <v>6</v>
      </c>
      <c r="B14" s="12" t="s">
        <v>29</v>
      </c>
      <c r="C14" s="13" t="s">
        <v>22</v>
      </c>
      <c r="D14" s="13" t="s">
        <v>27</v>
      </c>
      <c r="E14" s="14" t="n">
        <v>3</v>
      </c>
      <c r="F14" s="14" t="n">
        <v>5</v>
      </c>
      <c r="G14" s="15"/>
      <c r="H14" s="16" t="n">
        <f aca="false">IF($B14="","",IF($G14&lt;&gt;"",$G14,IF($F14="",WORKDAY($C$2-1,1),WORKDAY(INDEX($I$9:$I$40,MATCH($F14,$A$9:$A$40,0)),1))))</f>
        <v>46324</v>
      </c>
      <c r="I14" s="16" t="n">
        <f aca="false">IF($B14="","",WORKDAY($H14,MAX($E14,1)-1))</f>
        <v>46328</v>
      </c>
      <c r="J14" s="17" t="n">
        <v>0</v>
      </c>
      <c r="K14" s="13" t="str">
        <f aca="false">IF($B14="","",IF($J14&gt;=1,"Done",IF($C$3&gt;$I14,"Overdue",IF(OR($J14&gt;0,$C$3&gt;=$H14),"In progress","Not started"))))</f>
        <v>Not started</v>
      </c>
      <c r="L14" s="15"/>
      <c r="M14" s="13" t="str">
        <f aca="false">IF(OR($B14="",$L14=""),"",IF($I14&lt;=$L14,"On time","LATE by "&amp;NETWORKDAYS($L14,$I14)-1&amp;" day(s)"))</f>
        <v/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</row>
    <row r="15" customFormat="false" ht="15" hidden="false" customHeight="true" outlineLevel="0" collapsed="false">
      <c r="A15" s="11" t="n">
        <v>7</v>
      </c>
      <c r="B15" s="12" t="s">
        <v>30</v>
      </c>
      <c r="C15" s="13" t="s">
        <v>22</v>
      </c>
      <c r="D15" s="13" t="s">
        <v>23</v>
      </c>
      <c r="E15" s="14" t="n">
        <v>3</v>
      </c>
      <c r="F15" s="14" t="n">
        <v>3</v>
      </c>
      <c r="G15" s="15"/>
      <c r="H15" s="16" t="n">
        <f aca="false">IF($B15="","",IF($G15&lt;&gt;"",$G15,IF($F15="",WORKDAY($C$2-1,1),WORKDAY(INDEX($I$9:$I$40,MATCH($F15,$A$9:$A$40,0)),1))))</f>
        <v>46324</v>
      </c>
      <c r="I15" s="16" t="n">
        <f aca="false">IF($B15="","",WORKDAY($H15,MAX($E15,1)-1))</f>
        <v>46328</v>
      </c>
      <c r="J15" s="17" t="n">
        <v>0</v>
      </c>
      <c r="K15" s="13" t="str">
        <f aca="false">IF($B15="","",IF($J15&gt;=1,"Done",IF($C$3&gt;$I15,"Overdue",IF(OR($J15&gt;0,$C$3&gt;=$H15),"In progress","Not started"))))</f>
        <v>Not started</v>
      </c>
      <c r="L15" s="15"/>
      <c r="M15" s="13" t="str">
        <f aca="false">IF(OR($B15="",$L15=""),"",IF($I15&lt;=$L15,"On time","LATE by "&amp;NETWORKDAYS($L15,$I15)-1&amp;" day(s)"))</f>
        <v/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</row>
    <row r="16" customFormat="false" ht="15" hidden="false" customHeight="true" outlineLevel="0" collapsed="false">
      <c r="A16" s="11" t="n">
        <v>8</v>
      </c>
      <c r="B16" s="12" t="s">
        <v>31</v>
      </c>
      <c r="C16" s="13" t="s">
        <v>22</v>
      </c>
      <c r="D16" s="13" t="s">
        <v>32</v>
      </c>
      <c r="E16" s="14" t="n">
        <v>2</v>
      </c>
      <c r="F16" s="14" t="n">
        <v>7</v>
      </c>
      <c r="G16" s="15"/>
      <c r="H16" s="16" t="n">
        <f aca="false">IF($B16="","",IF($G16&lt;&gt;"",$G16,IF($F16="",WORKDAY($C$2-1,1),WORKDAY(INDEX($I$9:$I$40,MATCH($F16,$A$9:$A$40,0)),1))))</f>
        <v>46329</v>
      </c>
      <c r="I16" s="16" t="n">
        <f aca="false">IF($B16="","",WORKDAY($H16,MAX($E16,1)-1))</f>
        <v>46330</v>
      </c>
      <c r="J16" s="17" t="n">
        <v>0</v>
      </c>
      <c r="K16" s="13" t="str">
        <f aca="false">IF($B16="","",IF($J16&gt;=1,"Done",IF($C$3&gt;$I16,"Overdue",IF(OR($J16&gt;0,$C$3&gt;=$H16),"In progress","Not started"))))</f>
        <v>Not started</v>
      </c>
      <c r="L16" s="15"/>
      <c r="M16" s="13" t="str">
        <f aca="false">IF(OR($B16="",$L16=""),"",IF($I16&lt;=$L16,"On time","LATE by "&amp;NETWORKDAYS($L16,$I16)-1&amp;" day(s)"))</f>
        <v/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</row>
    <row r="17" customFormat="false" ht="15" hidden="false" customHeight="true" outlineLevel="0" collapsed="false">
      <c r="A17" s="19" t="n">
        <v>9</v>
      </c>
      <c r="B17" s="20" t="s">
        <v>33</v>
      </c>
      <c r="C17" s="21" t="s">
        <v>34</v>
      </c>
      <c r="D17" s="21" t="s">
        <v>32</v>
      </c>
      <c r="E17" s="14" t="n">
        <v>1</v>
      </c>
      <c r="F17" s="14" t="n">
        <v>8</v>
      </c>
      <c r="G17" s="15"/>
      <c r="H17" s="22" t="n">
        <f aca="false">IF($B17="","",IF($G17&lt;&gt;"",$G17,IF($F17="",WORKDAY($C$2-1,1),WORKDAY(INDEX($I$9:$I$40,MATCH($F17,$A$9:$A$40,0)),1))))</f>
        <v>46331</v>
      </c>
      <c r="I17" s="22" t="n">
        <f aca="false">IF($B17="","",WORKDAY($H17,MAX($E17,1)-1))</f>
        <v>46331</v>
      </c>
      <c r="J17" s="17" t="n">
        <v>0</v>
      </c>
      <c r="K17" s="21" t="str">
        <f aca="false">IF($B17="","",IF($J17&gt;=1,"Done",IF($C$3&gt;$I17,"Overdue",IF(OR($J17&gt;0,$C$3&gt;=$H17),"In progress","Not started"))))</f>
        <v>Not started</v>
      </c>
      <c r="L17" s="15"/>
      <c r="M17" s="21" t="str">
        <f aca="false">IF(OR($B17="",$L17=""),"",IF($I17&lt;=$L17,"On time","LATE by "&amp;NETWORKDAYS($L17,$I17)-1&amp;" day(s)"))</f>
        <v/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</row>
    <row r="18" customFormat="false" ht="15" hidden="false" customHeight="true" outlineLevel="0" collapsed="false">
      <c r="A18" s="11" t="n">
        <v>10</v>
      </c>
      <c r="B18" s="12" t="s">
        <v>35</v>
      </c>
      <c r="C18" s="13" t="s">
        <v>36</v>
      </c>
      <c r="D18" s="13" t="s">
        <v>23</v>
      </c>
      <c r="E18" s="14" t="n">
        <v>2</v>
      </c>
      <c r="F18" s="14" t="n">
        <v>7</v>
      </c>
      <c r="G18" s="15"/>
      <c r="H18" s="16" t="n">
        <f aca="false">IF($B18="","",IF($G18&lt;&gt;"",$G18,IF($F18="",WORKDAY($C$2-1,1),WORKDAY(INDEX($I$9:$I$40,MATCH($F18,$A$9:$A$40,0)),1))))</f>
        <v>46329</v>
      </c>
      <c r="I18" s="16" t="n">
        <f aca="false">IF($B18="","",WORKDAY($H18,MAX($E18,1)-1))</f>
        <v>46330</v>
      </c>
      <c r="J18" s="17" t="n">
        <v>0</v>
      </c>
      <c r="K18" s="13" t="str">
        <f aca="false">IF($B18="","",IF($J18&gt;=1,"Done",IF($C$3&gt;$I18,"Overdue",IF(OR($J18&gt;0,$C$3&gt;=$H18),"In progress","Not started"))))</f>
        <v>Not started</v>
      </c>
      <c r="L18" s="15"/>
      <c r="M18" s="13" t="str">
        <f aca="false">IF(OR($B18="",$L18=""),"",IF($I18&lt;=$L18,"On time","LATE by "&amp;NETWORKDAYS($L18,$I18)-1&amp;" day(s)"))</f>
        <v/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</row>
    <row r="19" customFormat="false" ht="15" hidden="false" customHeight="true" outlineLevel="0" collapsed="false">
      <c r="A19" s="11" t="n">
        <v>11</v>
      </c>
      <c r="B19" s="12" t="s">
        <v>37</v>
      </c>
      <c r="C19" s="13" t="s">
        <v>36</v>
      </c>
      <c r="D19" s="13" t="s">
        <v>27</v>
      </c>
      <c r="E19" s="14" t="n">
        <v>3</v>
      </c>
      <c r="F19" s="14" t="n">
        <v>9</v>
      </c>
      <c r="G19" s="15"/>
      <c r="H19" s="16" t="n">
        <f aca="false">IF($B19="","",IF($G19&lt;&gt;"",$G19,IF($F19="",WORKDAY($C$2-1,1),WORKDAY(INDEX($I$9:$I$40,MATCH($F19,$A$9:$A$40,0)),1))))</f>
        <v>46332</v>
      </c>
      <c r="I19" s="16" t="n">
        <f aca="false">IF($B19="","",WORKDAY($H19,MAX($E19,1)-1))</f>
        <v>46336</v>
      </c>
      <c r="J19" s="17" t="n">
        <v>0</v>
      </c>
      <c r="K19" s="13" t="str">
        <f aca="false">IF($B19="","",IF($J19&gt;=1,"Done",IF($C$3&gt;$I19,"Overdue",IF(OR($J19&gt;0,$C$3&gt;=$H19),"In progress","Not started"))))</f>
        <v>Not started</v>
      </c>
      <c r="L19" s="15"/>
      <c r="M19" s="13" t="str">
        <f aca="false">IF(OR($B19="",$L19=""),"",IF($I19&lt;=$L19,"On time","LATE by "&amp;NETWORKDAYS($L19,$I19)-1&amp;" day(s)"))</f>
        <v/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</row>
    <row r="20" customFormat="false" ht="15" hidden="false" customHeight="true" outlineLevel="0" collapsed="false">
      <c r="A20" s="11" t="n">
        <v>12</v>
      </c>
      <c r="B20" s="12" t="s">
        <v>38</v>
      </c>
      <c r="C20" s="13" t="s">
        <v>36</v>
      </c>
      <c r="D20" s="13" t="s">
        <v>23</v>
      </c>
      <c r="E20" s="14" t="n">
        <v>2</v>
      </c>
      <c r="F20" s="14" t="n">
        <v>9</v>
      </c>
      <c r="G20" s="15"/>
      <c r="H20" s="16" t="n">
        <f aca="false">IF($B20="","",IF($G20&lt;&gt;"",$G20,IF($F20="",WORKDAY($C$2-1,1),WORKDAY(INDEX($I$9:$I$40,MATCH($F20,$A$9:$A$40,0)),1))))</f>
        <v>46332</v>
      </c>
      <c r="I20" s="16" t="n">
        <f aca="false">IF($B20="","",WORKDAY($H20,MAX($E20,1)-1))</f>
        <v>46335</v>
      </c>
      <c r="J20" s="17" t="n">
        <v>0</v>
      </c>
      <c r="K20" s="13" t="str">
        <f aca="false">IF($B20="","",IF($J20&gt;=1,"Done",IF($C$3&gt;$I20,"Overdue",IF(OR($J20&gt;0,$C$3&gt;=$H20),"In progress","Not started"))))</f>
        <v>Not started</v>
      </c>
      <c r="L20" s="15"/>
      <c r="M20" s="13" t="str">
        <f aca="false">IF(OR($B20="",$L20=""),"",IF($I20&lt;=$L20,"On time","LATE by "&amp;NETWORKDAYS($L20,$I20)-1&amp;" day(s)"))</f>
        <v/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</row>
    <row r="21" customFormat="false" ht="15" hidden="false" customHeight="true" outlineLevel="0" collapsed="false">
      <c r="A21" s="11" t="n">
        <v>13</v>
      </c>
      <c r="B21" s="12" t="s">
        <v>39</v>
      </c>
      <c r="C21" s="13" t="s">
        <v>36</v>
      </c>
      <c r="D21" s="13" t="s">
        <v>27</v>
      </c>
      <c r="E21" s="14" t="n">
        <v>2</v>
      </c>
      <c r="F21" s="14" t="n">
        <v>12</v>
      </c>
      <c r="G21" s="15"/>
      <c r="H21" s="16" t="n">
        <f aca="false">IF($B21="","",IF($G21&lt;&gt;"",$G21,IF($F21="",WORKDAY($C$2-1,1),WORKDAY(INDEX($I$9:$I$40,MATCH($F21,$A$9:$A$40,0)),1))))</f>
        <v>46336</v>
      </c>
      <c r="I21" s="16" t="n">
        <f aca="false">IF($B21="","",WORKDAY($H21,MAX($E21,1)-1))</f>
        <v>46337</v>
      </c>
      <c r="J21" s="17" t="n">
        <v>0</v>
      </c>
      <c r="K21" s="13" t="str">
        <f aca="false">IF($B21="","",IF($J21&gt;=1,"Done",IF($C$3&gt;$I21,"Overdue",IF(OR($J21&gt;0,$C$3&gt;=$H21),"In progress","Not started"))))</f>
        <v>Not started</v>
      </c>
      <c r="L21" s="15"/>
      <c r="M21" s="13" t="str">
        <f aca="false">IF(OR($B21="",$L21=""),"",IF($I21&lt;=$L21,"On time","LATE by "&amp;NETWORKDAYS($L21,$I21)-1&amp;" day(s)"))</f>
        <v/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</row>
    <row r="22" customFormat="false" ht="15" hidden="false" customHeight="true" outlineLevel="0" collapsed="false">
      <c r="A22" s="11" t="n">
        <v>14</v>
      </c>
      <c r="B22" s="12" t="s">
        <v>40</v>
      </c>
      <c r="C22" s="13" t="s">
        <v>36</v>
      </c>
      <c r="D22" s="13" t="s">
        <v>41</v>
      </c>
      <c r="E22" s="14" t="n">
        <v>4</v>
      </c>
      <c r="F22" s="14" t="n">
        <v>13</v>
      </c>
      <c r="G22" s="15"/>
      <c r="H22" s="16" t="n">
        <f aca="false">IF($B22="","",IF($G22&lt;&gt;"",$G22,IF($F22="",WORKDAY($C$2-1,1),WORKDAY(INDEX($I$9:$I$40,MATCH($F22,$A$9:$A$40,0)),1))))</f>
        <v>46338</v>
      </c>
      <c r="I22" s="16" t="n">
        <f aca="false">IF($B22="","",WORKDAY($H22,MAX($E22,1)-1))</f>
        <v>46343</v>
      </c>
      <c r="J22" s="17" t="n">
        <v>0</v>
      </c>
      <c r="K22" s="13" t="str">
        <f aca="false">IF($B22="","",IF($J22&gt;=1,"Done",IF($C$3&gt;$I22,"Overdue",IF(OR($J22&gt;0,$C$3&gt;=$H22),"In progress","Not started"))))</f>
        <v>Not started</v>
      </c>
      <c r="L22" s="15"/>
      <c r="M22" s="13" t="str">
        <f aca="false">IF(OR($B22="",$L22=""),"",IF($I22&lt;=$L22,"On time","LATE by "&amp;NETWORKDAYS($L22,$I22)-1&amp;" day(s)"))</f>
        <v/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</row>
    <row r="23" customFormat="false" ht="15" hidden="false" customHeight="true" outlineLevel="0" collapsed="false">
      <c r="A23" s="11" t="n">
        <v>15</v>
      </c>
      <c r="B23" s="12" t="s">
        <v>42</v>
      </c>
      <c r="C23" s="13" t="s">
        <v>36</v>
      </c>
      <c r="D23" s="13" t="s">
        <v>41</v>
      </c>
      <c r="E23" s="14" t="n">
        <v>4</v>
      </c>
      <c r="F23" s="14" t="n">
        <v>9</v>
      </c>
      <c r="G23" s="15"/>
      <c r="H23" s="16" t="n">
        <f aca="false">IF($B23="","",IF($G23&lt;&gt;"",$G23,IF($F23="",WORKDAY($C$2-1,1),WORKDAY(INDEX($I$9:$I$40,MATCH($F23,$A$9:$A$40,0)),1))))</f>
        <v>46332</v>
      </c>
      <c r="I23" s="16" t="n">
        <f aca="false">IF($B23="","",WORKDAY($H23,MAX($E23,1)-1))</f>
        <v>46337</v>
      </c>
      <c r="J23" s="17" t="n">
        <v>0</v>
      </c>
      <c r="K23" s="13" t="str">
        <f aca="false">IF($B23="","",IF($J23&gt;=1,"Done",IF($C$3&gt;$I23,"Overdue",IF(OR($J23&gt;0,$C$3&gt;=$H23),"In progress","Not started"))))</f>
        <v>Not started</v>
      </c>
      <c r="L23" s="15"/>
      <c r="M23" s="13" t="str">
        <f aca="false">IF(OR($B23="",$L23=""),"",IF($I23&lt;=$L23,"On time","LATE by "&amp;NETWORKDAYS($L23,$I23)-1&amp;" day(s)"))</f>
        <v/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</row>
    <row r="24" customFormat="false" ht="15" hidden="false" customHeight="true" outlineLevel="0" collapsed="false">
      <c r="A24" s="11" t="n">
        <v>16</v>
      </c>
      <c r="B24" s="12" t="s">
        <v>43</v>
      </c>
      <c r="C24" s="13" t="s">
        <v>36</v>
      </c>
      <c r="D24" s="13" t="s">
        <v>23</v>
      </c>
      <c r="E24" s="14" t="n">
        <v>2</v>
      </c>
      <c r="F24" s="14" t="n">
        <v>14</v>
      </c>
      <c r="G24" s="15"/>
      <c r="H24" s="16" t="n">
        <f aca="false">IF($B24="","",IF($G24&lt;&gt;"",$G24,IF($F24="",WORKDAY($C$2-1,1),WORKDAY(INDEX($I$9:$I$40,MATCH($F24,$A$9:$A$40,0)),1))))</f>
        <v>46344</v>
      </c>
      <c r="I24" s="16" t="n">
        <f aca="false">IF($B24="","",WORKDAY($H24,MAX($E24,1)-1))</f>
        <v>46345</v>
      </c>
      <c r="J24" s="17" t="n">
        <v>0</v>
      </c>
      <c r="K24" s="13" t="str">
        <f aca="false">IF($B24="","",IF($J24&gt;=1,"Done",IF($C$3&gt;$I24,"Overdue",IF(OR($J24&gt;0,$C$3&gt;=$H24),"In progress","Not started"))))</f>
        <v>Not started</v>
      </c>
      <c r="L24" s="15"/>
      <c r="M24" s="13" t="str">
        <f aca="false">IF(OR($B24="",$L24=""),"",IF($I24&lt;=$L24,"On time","LATE by "&amp;NETWORKDAYS($L24,$I24)-1&amp;" day(s)"))</f>
        <v/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</row>
    <row r="25" customFormat="false" ht="15" hidden="false" customHeight="true" outlineLevel="0" collapsed="false">
      <c r="A25" s="11" t="n">
        <v>17</v>
      </c>
      <c r="B25" s="12" t="s">
        <v>44</v>
      </c>
      <c r="C25" s="13" t="s">
        <v>36</v>
      </c>
      <c r="D25" s="13" t="s">
        <v>32</v>
      </c>
      <c r="E25" s="14" t="n">
        <v>2</v>
      </c>
      <c r="F25" s="14" t="n">
        <v>16</v>
      </c>
      <c r="G25" s="15"/>
      <c r="H25" s="16" t="n">
        <f aca="false">IF($B25="","",IF($G25&lt;&gt;"",$G25,IF($F25="",WORKDAY($C$2-1,1),WORKDAY(INDEX($I$9:$I$40,MATCH($F25,$A$9:$A$40,0)),1))))</f>
        <v>46346</v>
      </c>
      <c r="I25" s="16" t="n">
        <f aca="false">IF($B25="","",WORKDAY($H25,MAX($E25,1)-1))</f>
        <v>46349</v>
      </c>
      <c r="J25" s="17" t="n">
        <v>0</v>
      </c>
      <c r="K25" s="13" t="str">
        <f aca="false">IF($B25="","",IF($J25&gt;=1,"Done",IF($C$3&gt;$I25,"Overdue",IF(OR($J25&gt;0,$C$3&gt;=$H25),"In progress","Not started"))))</f>
        <v>Not started</v>
      </c>
      <c r="L25" s="15"/>
      <c r="M25" s="13" t="str">
        <f aca="false">IF(OR($B25="",$L25=""),"",IF($I25&lt;=$L25,"On time","LATE by "&amp;NETWORKDAYS($L25,$I25)-1&amp;" day(s)"))</f>
        <v/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</row>
    <row r="26" customFormat="false" ht="15" hidden="false" customHeight="true" outlineLevel="0" collapsed="false">
      <c r="A26" s="11" t="n">
        <v>18</v>
      </c>
      <c r="B26" s="12" t="s">
        <v>45</v>
      </c>
      <c r="C26" s="13" t="s">
        <v>36</v>
      </c>
      <c r="D26" s="13" t="s">
        <v>32</v>
      </c>
      <c r="E26" s="14" t="n">
        <v>1</v>
      </c>
      <c r="F26" s="14" t="n">
        <v>17</v>
      </c>
      <c r="G26" s="15"/>
      <c r="H26" s="16" t="n">
        <f aca="false">IF($B26="","",IF($G26&lt;&gt;"",$G26,IF($F26="",WORKDAY($C$2-1,1),WORKDAY(INDEX($I$9:$I$40,MATCH($F26,$A$9:$A$40,0)),1))))</f>
        <v>46350</v>
      </c>
      <c r="I26" s="16" t="n">
        <f aca="false">IF($B26="","",WORKDAY($H26,MAX($E26,1)-1))</f>
        <v>46350</v>
      </c>
      <c r="J26" s="17" t="n">
        <v>0</v>
      </c>
      <c r="K26" s="13" t="str">
        <f aca="false">IF($B26="","",IF($J26&gt;=1,"Done",IF($C$3&gt;$I26,"Overdue",IF(OR($J26&gt;0,$C$3&gt;=$H26),"In progress","Not started"))))</f>
        <v>Not started</v>
      </c>
      <c r="L26" s="15"/>
      <c r="M26" s="13" t="str">
        <f aca="false">IF(OR($B26="",$L26=""),"",IF($I26&lt;=$L26,"On time","LATE by "&amp;NETWORKDAYS($L26,$I26)-1&amp;" day(s)"))</f>
        <v/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</row>
    <row r="27" customFormat="false" ht="15" hidden="false" customHeight="true" outlineLevel="0" collapsed="false">
      <c r="A27" s="19" t="n">
        <v>19</v>
      </c>
      <c r="B27" s="20" t="s">
        <v>46</v>
      </c>
      <c r="C27" s="21" t="s">
        <v>34</v>
      </c>
      <c r="D27" s="21" t="s">
        <v>32</v>
      </c>
      <c r="E27" s="14" t="n">
        <v>1</v>
      </c>
      <c r="F27" s="14" t="n">
        <v>18</v>
      </c>
      <c r="G27" s="15"/>
      <c r="H27" s="22" t="n">
        <f aca="false">IF($B27="","",IF($G27&lt;&gt;"",$G27,IF($F27="",WORKDAY($C$2-1,1),WORKDAY(INDEX($I$9:$I$40,MATCH($F27,$A$9:$A$40,0)),1))))</f>
        <v>46351</v>
      </c>
      <c r="I27" s="22" t="n">
        <f aca="false">IF($B27="","",WORKDAY($H27,MAX($E27,1)-1))</f>
        <v>46351</v>
      </c>
      <c r="J27" s="17" t="n">
        <v>0</v>
      </c>
      <c r="K27" s="21" t="str">
        <f aca="false">IF($B27="","",IF($J27&gt;=1,"Done",IF($C$3&gt;$I27,"Overdue",IF(OR($J27&gt;0,$C$3&gt;=$H27),"In progress","Not started"))))</f>
        <v>Not started</v>
      </c>
      <c r="L27" s="15" t="n">
        <f aca="false">$C$4</f>
        <v>46351</v>
      </c>
      <c r="M27" s="21" t="str">
        <f aca="false">IF(OR($B27="",$L27=""),"",IF($I27&lt;=$L27,"On time","LATE by "&amp;NETWORKDAYS($L27,$I27)-1&amp;" day(s)"))</f>
        <v>On time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</row>
    <row r="28" customFormat="false" ht="15" hidden="false" customHeight="true" outlineLevel="0" collapsed="false">
      <c r="A28" s="11"/>
      <c r="B28" s="12"/>
      <c r="C28" s="13"/>
      <c r="D28" s="13"/>
      <c r="E28" s="14"/>
      <c r="F28" s="14"/>
      <c r="G28" s="15"/>
      <c r="H28" s="16" t="str">
        <f aca="false">IF($B28="","",IF($G28&lt;&gt;"",$G28,IF($F28="",WORKDAY($C$2-1,1),WORKDAY(INDEX($I$9:$I$40,MATCH($F28,$A$9:$A$40,0)),1))))</f>
        <v/>
      </c>
      <c r="I28" s="16" t="str">
        <f aca="false">IF($B28="","",WORKDAY($H28,MAX($E28,1)-1))</f>
        <v/>
      </c>
      <c r="J28" s="17"/>
      <c r="K28" s="13" t="str">
        <f aca="false">IF($B28="","",IF($J28&gt;=1,"Done",IF($C$3&gt;$I28,"Overdue",IF(OR($J28&gt;0,$C$3&gt;=$H28),"In progress","Not started"))))</f>
        <v/>
      </c>
      <c r="L28" s="15"/>
      <c r="M28" s="13" t="str">
        <f aca="false">IF(OR($B28="",$L28=""),"",IF($I28&lt;=$L28,"On time","LATE by "&amp;NETWORKDAYS($L28,$I28)-1&amp;" day(s)"))</f>
        <v/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</row>
    <row r="29" customFormat="false" ht="15" hidden="false" customHeight="true" outlineLevel="0" collapsed="false">
      <c r="A29" s="11"/>
      <c r="B29" s="12"/>
      <c r="C29" s="13"/>
      <c r="D29" s="13"/>
      <c r="E29" s="14"/>
      <c r="F29" s="14"/>
      <c r="G29" s="15"/>
      <c r="H29" s="16" t="str">
        <f aca="false">IF($B29="","",IF($G29&lt;&gt;"",$G29,IF($F29="",WORKDAY($C$2-1,1),WORKDAY(INDEX($I$9:$I$40,MATCH($F29,$A$9:$A$40,0)),1))))</f>
        <v/>
      </c>
      <c r="I29" s="16" t="str">
        <f aca="false">IF($B29="","",WORKDAY($H29,MAX($E29,1)-1))</f>
        <v/>
      </c>
      <c r="J29" s="17"/>
      <c r="K29" s="13" t="str">
        <f aca="false">IF($B29="","",IF($J29&gt;=1,"Done",IF($C$3&gt;$I29,"Overdue",IF(OR($J29&gt;0,$C$3&gt;=$H29),"In progress","Not started"))))</f>
        <v/>
      </c>
      <c r="L29" s="15"/>
      <c r="M29" s="13" t="str">
        <f aca="false">IF(OR($B29="",$L29=""),"",IF($I29&lt;=$L29,"On time","LATE by "&amp;NETWORKDAYS($L29,$I29)-1&amp;" day(s)"))</f>
        <v/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</row>
    <row r="30" customFormat="false" ht="15" hidden="false" customHeight="true" outlineLevel="0" collapsed="false">
      <c r="A30" s="11"/>
      <c r="B30" s="12"/>
      <c r="C30" s="13"/>
      <c r="D30" s="13"/>
      <c r="E30" s="14"/>
      <c r="F30" s="14"/>
      <c r="G30" s="15"/>
      <c r="H30" s="16" t="str">
        <f aca="false">IF($B30="","",IF($G30&lt;&gt;"",$G30,IF($F30="",WORKDAY($C$2-1,1),WORKDAY(INDEX($I$9:$I$40,MATCH($F30,$A$9:$A$40,0)),1))))</f>
        <v/>
      </c>
      <c r="I30" s="16" t="str">
        <f aca="false">IF($B30="","",WORKDAY($H30,MAX($E30,1)-1))</f>
        <v/>
      </c>
      <c r="J30" s="17"/>
      <c r="K30" s="13" t="str">
        <f aca="false">IF($B30="","",IF($J30&gt;=1,"Done",IF($C$3&gt;$I30,"Overdue",IF(OR($J30&gt;0,$C$3&gt;=$H30),"In progress","Not started"))))</f>
        <v/>
      </c>
      <c r="L30" s="15"/>
      <c r="M30" s="13" t="str">
        <f aca="false">IF(OR($B30="",$L30=""),"",IF($I30&lt;=$L30,"On time","LATE by "&amp;NETWORKDAYS($L30,$I30)-1&amp;" day(s)"))</f>
        <v/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</row>
    <row r="31" customFormat="false" ht="15" hidden="false" customHeight="true" outlineLevel="0" collapsed="false">
      <c r="A31" s="11"/>
      <c r="B31" s="12"/>
      <c r="C31" s="13"/>
      <c r="D31" s="13"/>
      <c r="E31" s="14"/>
      <c r="F31" s="14"/>
      <c r="G31" s="15"/>
      <c r="H31" s="16" t="str">
        <f aca="false">IF($B31="","",IF($G31&lt;&gt;"",$G31,IF($F31="",WORKDAY($C$2-1,1),WORKDAY(INDEX($I$9:$I$40,MATCH($F31,$A$9:$A$40,0)),1))))</f>
        <v/>
      </c>
      <c r="I31" s="16" t="str">
        <f aca="false">IF($B31="","",WORKDAY($H31,MAX($E31,1)-1))</f>
        <v/>
      </c>
      <c r="J31" s="17"/>
      <c r="K31" s="13" t="str">
        <f aca="false">IF($B31="","",IF($J31&gt;=1,"Done",IF($C$3&gt;$I31,"Overdue",IF(OR($J31&gt;0,$C$3&gt;=$H31),"In progress","Not started"))))</f>
        <v/>
      </c>
      <c r="L31" s="15"/>
      <c r="M31" s="13" t="str">
        <f aca="false">IF(OR($B31="",$L31=""),"",IF($I31&lt;=$L31,"On time","LATE by "&amp;NETWORKDAYS($L31,$I31)-1&amp;" day(s)"))</f>
        <v/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</row>
    <row r="32" customFormat="false" ht="15" hidden="false" customHeight="true" outlineLevel="0" collapsed="false">
      <c r="A32" s="11"/>
      <c r="B32" s="12"/>
      <c r="C32" s="13"/>
      <c r="D32" s="13"/>
      <c r="E32" s="14"/>
      <c r="F32" s="14"/>
      <c r="G32" s="15"/>
      <c r="H32" s="16" t="str">
        <f aca="false">IF($B32="","",IF($G32&lt;&gt;"",$G32,IF($F32="",WORKDAY($C$2-1,1),WORKDAY(INDEX($I$9:$I$40,MATCH($F32,$A$9:$A$40,0)),1))))</f>
        <v/>
      </c>
      <c r="I32" s="16" t="str">
        <f aca="false">IF($B32="","",WORKDAY($H32,MAX($E32,1)-1))</f>
        <v/>
      </c>
      <c r="J32" s="17"/>
      <c r="K32" s="13" t="str">
        <f aca="false">IF($B32="","",IF($J32&gt;=1,"Done",IF($C$3&gt;$I32,"Overdue",IF(OR($J32&gt;0,$C$3&gt;=$H32),"In progress","Not started"))))</f>
        <v/>
      </c>
      <c r="L32" s="15"/>
      <c r="M32" s="13" t="str">
        <f aca="false">IF(OR($B32="",$L32=""),"",IF($I32&lt;=$L32,"On time","LATE by "&amp;NETWORKDAYS($L32,$I32)-1&amp;" day(s)"))</f>
        <v/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</row>
    <row r="33" customFormat="false" ht="15" hidden="false" customHeight="true" outlineLevel="0" collapsed="false">
      <c r="A33" s="11"/>
      <c r="B33" s="12"/>
      <c r="C33" s="13"/>
      <c r="D33" s="13"/>
      <c r="E33" s="14"/>
      <c r="F33" s="14"/>
      <c r="G33" s="15"/>
      <c r="H33" s="16" t="str">
        <f aca="false">IF($B33="","",IF($G33&lt;&gt;"",$G33,IF($F33="",WORKDAY($C$2-1,1),WORKDAY(INDEX($I$9:$I$40,MATCH($F33,$A$9:$A$40,0)),1))))</f>
        <v/>
      </c>
      <c r="I33" s="16" t="str">
        <f aca="false">IF($B33="","",WORKDAY($H33,MAX($E33,1)-1))</f>
        <v/>
      </c>
      <c r="J33" s="17"/>
      <c r="K33" s="13" t="str">
        <f aca="false">IF($B33="","",IF($J33&gt;=1,"Done",IF($C$3&gt;$I33,"Overdue",IF(OR($J33&gt;0,$C$3&gt;=$H33),"In progress","Not started"))))</f>
        <v/>
      </c>
      <c r="L33" s="15"/>
      <c r="M33" s="13" t="str">
        <f aca="false">IF(OR($B33="",$L33=""),"",IF($I33&lt;=$L33,"On time","LATE by "&amp;NETWORKDAYS($L33,$I33)-1&amp;" day(s)"))</f>
        <v/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</row>
    <row r="34" customFormat="false" ht="15" hidden="false" customHeight="true" outlineLevel="0" collapsed="false">
      <c r="A34" s="11"/>
      <c r="B34" s="12"/>
      <c r="C34" s="13"/>
      <c r="D34" s="13"/>
      <c r="E34" s="14"/>
      <c r="F34" s="14"/>
      <c r="G34" s="15"/>
      <c r="H34" s="16" t="str">
        <f aca="false">IF($B34="","",IF($G34&lt;&gt;"",$G34,IF($F34="",WORKDAY($C$2-1,1),WORKDAY(INDEX($I$9:$I$40,MATCH($F34,$A$9:$A$40,0)),1))))</f>
        <v/>
      </c>
      <c r="I34" s="16" t="str">
        <f aca="false">IF($B34="","",WORKDAY($H34,MAX($E34,1)-1))</f>
        <v/>
      </c>
      <c r="J34" s="17"/>
      <c r="K34" s="13" t="str">
        <f aca="false">IF($B34="","",IF($J34&gt;=1,"Done",IF($C$3&gt;$I34,"Overdue",IF(OR($J34&gt;0,$C$3&gt;=$H34),"In progress","Not started"))))</f>
        <v/>
      </c>
      <c r="L34" s="15"/>
      <c r="M34" s="13" t="str">
        <f aca="false">IF(OR($B34="",$L34=""),"",IF($I34&lt;=$L34,"On time","LATE by "&amp;NETWORKDAYS($L34,$I34)-1&amp;" day(s)"))</f>
        <v/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</row>
    <row r="35" customFormat="false" ht="15" hidden="false" customHeight="true" outlineLevel="0" collapsed="false">
      <c r="A35" s="11"/>
      <c r="B35" s="12"/>
      <c r="C35" s="13"/>
      <c r="D35" s="13"/>
      <c r="E35" s="14"/>
      <c r="F35" s="14"/>
      <c r="G35" s="15"/>
      <c r="H35" s="16" t="str">
        <f aca="false">IF($B35="","",IF($G35&lt;&gt;"",$G35,IF($F35="",WORKDAY($C$2-1,1),WORKDAY(INDEX($I$9:$I$40,MATCH($F35,$A$9:$A$40,0)),1))))</f>
        <v/>
      </c>
      <c r="I35" s="16" t="str">
        <f aca="false">IF($B35="","",WORKDAY($H35,MAX($E35,1)-1))</f>
        <v/>
      </c>
      <c r="J35" s="17"/>
      <c r="K35" s="13" t="str">
        <f aca="false">IF($B35="","",IF($J35&gt;=1,"Done",IF($C$3&gt;$I35,"Overdue",IF(OR($J35&gt;0,$C$3&gt;=$H35),"In progress","Not started"))))</f>
        <v/>
      </c>
      <c r="L35" s="15"/>
      <c r="M35" s="13" t="str">
        <f aca="false">IF(OR($B35="",$L35=""),"",IF($I35&lt;=$L35,"On time","LATE by "&amp;NETWORKDAYS($L35,$I35)-1&amp;" day(s)"))</f>
        <v/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</row>
    <row r="36" customFormat="false" ht="15" hidden="false" customHeight="true" outlineLevel="0" collapsed="false">
      <c r="A36" s="11"/>
      <c r="B36" s="12"/>
      <c r="C36" s="13"/>
      <c r="D36" s="13"/>
      <c r="E36" s="14"/>
      <c r="F36" s="14"/>
      <c r="G36" s="15"/>
      <c r="H36" s="16" t="str">
        <f aca="false">IF($B36="","",IF($G36&lt;&gt;"",$G36,IF($F36="",WORKDAY($C$2-1,1),WORKDAY(INDEX($I$9:$I$40,MATCH($F36,$A$9:$A$40,0)),1))))</f>
        <v/>
      </c>
      <c r="I36" s="16" t="str">
        <f aca="false">IF($B36="","",WORKDAY($H36,MAX($E36,1)-1))</f>
        <v/>
      </c>
      <c r="J36" s="17"/>
      <c r="K36" s="13" t="str">
        <f aca="false">IF($B36="","",IF($J36&gt;=1,"Done",IF($C$3&gt;$I36,"Overdue",IF(OR($J36&gt;0,$C$3&gt;=$H36),"In progress","Not started"))))</f>
        <v/>
      </c>
      <c r="L36" s="15"/>
      <c r="M36" s="13" t="str">
        <f aca="false">IF(OR($B36="",$L36=""),"",IF($I36&lt;=$L36,"On time","LATE by "&amp;NETWORKDAYS($L36,$I36)-1&amp;" day(s)"))</f>
        <v/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</row>
    <row r="37" customFormat="false" ht="15" hidden="false" customHeight="true" outlineLevel="0" collapsed="false">
      <c r="A37" s="11"/>
      <c r="B37" s="12"/>
      <c r="C37" s="13"/>
      <c r="D37" s="13"/>
      <c r="E37" s="14"/>
      <c r="F37" s="14"/>
      <c r="G37" s="15"/>
      <c r="H37" s="16" t="str">
        <f aca="false">IF($B37="","",IF($G37&lt;&gt;"",$G37,IF($F37="",WORKDAY($C$2-1,1),WORKDAY(INDEX($I$9:$I$40,MATCH($F37,$A$9:$A$40,0)),1))))</f>
        <v/>
      </c>
      <c r="I37" s="16" t="str">
        <f aca="false">IF($B37="","",WORKDAY($H37,MAX($E37,1)-1))</f>
        <v/>
      </c>
      <c r="J37" s="17"/>
      <c r="K37" s="13" t="str">
        <f aca="false">IF($B37="","",IF($J37&gt;=1,"Done",IF($C$3&gt;$I37,"Overdue",IF(OR($J37&gt;0,$C$3&gt;=$H37),"In progress","Not started"))))</f>
        <v/>
      </c>
      <c r="L37" s="15"/>
      <c r="M37" s="13" t="str">
        <f aca="false">IF(OR($B37="",$L37=""),"",IF($I37&lt;=$L37,"On time","LATE by "&amp;NETWORKDAYS($L37,$I37)-1&amp;" day(s)"))</f>
        <v/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</row>
    <row r="38" customFormat="false" ht="15" hidden="false" customHeight="true" outlineLevel="0" collapsed="false">
      <c r="A38" s="11"/>
      <c r="B38" s="12"/>
      <c r="C38" s="13"/>
      <c r="D38" s="13"/>
      <c r="E38" s="14"/>
      <c r="F38" s="14"/>
      <c r="G38" s="15"/>
      <c r="H38" s="16" t="str">
        <f aca="false">IF($B38="","",IF($G38&lt;&gt;"",$G38,IF($F38="",WORKDAY($C$2-1,1),WORKDAY(INDEX($I$9:$I$40,MATCH($F38,$A$9:$A$40,0)),1))))</f>
        <v/>
      </c>
      <c r="I38" s="16" t="str">
        <f aca="false">IF($B38="","",WORKDAY($H38,MAX($E38,1)-1))</f>
        <v/>
      </c>
      <c r="J38" s="17"/>
      <c r="K38" s="13" t="str">
        <f aca="false">IF($B38="","",IF($J38&gt;=1,"Done",IF($C$3&gt;$I38,"Overdue",IF(OR($J38&gt;0,$C$3&gt;=$H38),"In progress","Not started"))))</f>
        <v/>
      </c>
      <c r="L38" s="15"/>
      <c r="M38" s="13" t="str">
        <f aca="false">IF(OR($B38="",$L38=""),"",IF($I38&lt;=$L38,"On time","LATE by "&amp;NETWORKDAYS($L38,$I38)-1&amp;" day(s)"))</f>
        <v/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</row>
    <row r="39" customFormat="false" ht="15" hidden="false" customHeight="true" outlineLevel="0" collapsed="false">
      <c r="A39" s="11"/>
      <c r="B39" s="12"/>
      <c r="C39" s="13"/>
      <c r="D39" s="13"/>
      <c r="E39" s="14"/>
      <c r="F39" s="14"/>
      <c r="G39" s="15"/>
      <c r="H39" s="16" t="str">
        <f aca="false">IF($B39="","",IF($G39&lt;&gt;"",$G39,IF($F39="",WORKDAY($C$2-1,1),WORKDAY(INDEX($I$9:$I$40,MATCH($F39,$A$9:$A$40,0)),1))))</f>
        <v/>
      </c>
      <c r="I39" s="16" t="str">
        <f aca="false">IF($B39="","",WORKDAY($H39,MAX($E39,1)-1))</f>
        <v/>
      </c>
      <c r="J39" s="17"/>
      <c r="K39" s="13" t="str">
        <f aca="false">IF($B39="","",IF($J39&gt;=1,"Done",IF($C$3&gt;$I39,"Overdue",IF(OR($J39&gt;0,$C$3&gt;=$H39),"In progress","Not started"))))</f>
        <v/>
      </c>
      <c r="L39" s="15"/>
      <c r="M39" s="13" t="str">
        <f aca="false">IF(OR($B39="",$L39=""),"",IF($I39&lt;=$L39,"On time","LATE by "&amp;NETWORKDAYS($L39,$I39)-1&amp;" day(s)"))</f>
        <v/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</row>
    <row r="40" customFormat="false" ht="15" hidden="false" customHeight="true" outlineLevel="0" collapsed="false">
      <c r="A40" s="11"/>
      <c r="B40" s="12"/>
      <c r="C40" s="13"/>
      <c r="D40" s="13"/>
      <c r="E40" s="14"/>
      <c r="F40" s="14"/>
      <c r="G40" s="15"/>
      <c r="H40" s="16" t="str">
        <f aca="false">IF($B40="","",IF($G40&lt;&gt;"",$G40,IF($F40="",WORKDAY($C$2-1,1),WORKDAY(INDEX($I$9:$I$40,MATCH($F40,$A$9:$A$40,0)),1))))</f>
        <v/>
      </c>
      <c r="I40" s="16" t="str">
        <f aca="false">IF($B40="","",WORKDAY($H40,MAX($E40,1)-1))</f>
        <v/>
      </c>
      <c r="J40" s="17"/>
      <c r="K40" s="13" t="str">
        <f aca="false">IF($B40="","",IF($J40&gt;=1,"Done",IF($C$3&gt;$I40,"Overdue",IF(OR($J40&gt;0,$C$3&gt;=$H40),"In progress","Not started"))))</f>
        <v/>
      </c>
      <c r="L40" s="15"/>
      <c r="M40" s="13" t="str">
        <f aca="false">IF(OR($B40="",$L40=""),"",IF($I40&lt;=$L40,"On time","LATE by "&amp;NETWORKDAYS($L40,$I40)-1&amp;" day(s)"))</f>
        <v/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</row>
  </sheetData>
  <conditionalFormatting sqref="N9:BF40">
    <cfRule type="expression" priority="2" aboveAverage="0" equalAverage="0" bottom="0" percent="0" rank="0" text="" dxfId="0">
      <formula>AND($C9="Milestone",N$8&gt;=$H9,N$8&lt;=$I9)</formula>
    </cfRule>
    <cfRule type="expression" priority="3" aboveAverage="0" equalAverage="0" bottom="0" percent="0" rank="0" text="" dxfId="1">
      <formula>AND($H9&lt;&gt;"",N$8&gt;=$H9,N$8&lt;=$I9,N$8&lt;$H9+($I9-$H9+1)*$J9)</formula>
    </cfRule>
    <cfRule type="expression" priority="4" aboveAverage="0" equalAverage="0" bottom="0" percent="0" rank="0" text="" dxfId="2">
      <formula>AND($H9&lt;&gt;"",N$8&gt;=$H9,N$8&lt;=$I9,WEEKDAY(N$8,2)&lt;6)</formula>
    </cfRule>
    <cfRule type="expression" priority="5" aboveAverage="0" equalAverage="0" bottom="0" percent="0" rank="0" text="" dxfId="3">
      <formula>N$8=$C$3</formula>
    </cfRule>
    <cfRule type="expression" priority="6" aboveAverage="0" equalAverage="0" bottom="0" percent="0" rank="0" text="" dxfId="4">
      <formula>WEEKDAY(N$8,2)&gt;5</formula>
    </cfRule>
  </conditionalFormatting>
  <conditionalFormatting sqref="N8:BF8">
    <cfRule type="expression" priority="7" aboveAverage="0" equalAverage="0" bottom="0" percent="0" rank="0" text="" dxfId="5">
      <formula>N$8=$C$3</formula>
    </cfRule>
  </conditionalFormatting>
  <conditionalFormatting sqref="K9:K40">
    <cfRule type="expression" priority="8" aboveAverage="0" equalAverage="0" bottom="0" percent="0" rank="0" text="" dxfId="6">
      <formula>$K9="Done"</formula>
    </cfRule>
    <cfRule type="expression" priority="9" aboveAverage="0" equalAverage="0" bottom="0" percent="0" rank="0" text="" dxfId="7">
      <formula>$K9="Overdue"</formula>
    </cfRule>
    <cfRule type="expression" priority="10" aboveAverage="0" equalAverage="0" bottom="0" percent="0" rank="0" text="" dxfId="8">
      <formula>$K9="In progress"</formula>
    </cfRule>
  </conditionalFormatting>
  <conditionalFormatting sqref="M9:M40">
    <cfRule type="expression" priority="11" aboveAverage="0" equalAverage="0" bottom="0" percent="0" rank="0" text="" dxfId="9">
      <formula>LEFT($M9,4)="LATE"</formula>
    </cfRule>
  </conditionalFormatting>
  <dataValidations count="2">
    <dataValidation allowBlank="false" error="Enter a value from 0% to 100%." errorStyle="stop" errorTitle="% Done" operator="between" showDropDown="false" showErrorMessage="true" showInputMessage="false" sqref="J9:J40" type="decimal">
      <formula1>0</formula1>
      <formula2>1</formula2>
    </dataValidation>
    <dataValidation allowBlank="true" errorStyle="stop" operator="between" showDropDown="false" showErrorMessage="false" showInputMessage="false" sqref="C9:C40" type="list">
      <formula1>"Deliverable 3,Deliverable 4,Milestone"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2026-10-21T07:51:02Z</dcterms:created>
  <dc:creator>openpyxl</dc:creator>
  <dc:description/>
  <dc:language>en-US</dc:language>
  <cp:lastModifiedBy/>
  <dcterms:modified xsi:type="dcterms:W3CDTF">2026-10-21T08:06:31Z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